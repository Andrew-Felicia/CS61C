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Logic for ROM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This is the value that will be outputted from the ROM. It's all the control signals concatenated together.</t>
      </text>
    </comment>
    <comment authorId="0" ref="K26">
      <text>
        <t xml:space="preserve">This value is provided as an example. Based on your design for the A MUX, you may need to modify this value to generate the correct immediate value</t>
      </text>
    </comment>
    <comment authorId="0" ref="F1">
      <text>
        <t xml:space="preserve">This is the value that will be passed into the ROM</t>
      </text>
    </comment>
    <comment authorId="0" ref="I20">
      <text>
        <t xml:space="preserve">This value is provided as an example. Based on your design for the immediate generator, you may need to modify this value to generate the correct immediate value</t>
      </text>
    </comment>
    <comment authorId="0" ref="J20">
      <text>
        <t xml:space="preserve">This value actually doesn't matter because the addi instruction never uses the branch comparator. However, you must fill out every cell so the control bits line up properly</t>
      </text>
    </comment>
    <comment authorId="0" ref="K20">
      <text>
        <t xml:space="preserve">This value is provided as an example. Based on your design for the A MUX, you may need to modify this value to generate the correct immediate value</t>
      </text>
    </comment>
    <comment authorId="0" ref="L20">
      <text>
        <t xml:space="preserve">This value is provided as an example. Based on your design for the B MUX, you may need to modify this value to generate the correct immediate value</t>
      </text>
    </comment>
    <comment authorId="0" ref="O20">
      <text>
        <t xml:space="preserve">This value is provided as an example. Based on your design for the Writeback MUX, you may need to modify this value to generate the correct immediate value</t>
      </text>
    </comment>
    <comment authorId="0" ref="P1">
      <text>
        <t xml:space="preserve">This is the value that will be outputted from the ROM. It's all the control signals concatenated together.</t>
      </text>
    </comment>
  </commentList>
</comments>
</file>

<file path=xl/sharedStrings.xml><?xml version="1.0" encoding="utf-8"?>
<sst xmlns="http://schemas.openxmlformats.org/spreadsheetml/2006/main" count="426" uniqueCount="119">
  <si>
    <t>MAKE A COPY OF THIS SHEET</t>
  </si>
  <si>
    <t>Instruction Metadata</t>
  </si>
  <si>
    <t>ROM Input</t>
  </si>
  <si>
    <t>Control Signals</t>
  </si>
  <si>
    <t>ROM Output</t>
  </si>
  <si>
    <t>INTERMEDIATE CALCULATIONS (DO NOT MODIFY)</t>
  </si>
  <si>
    <t>addi is provided as an example</t>
  </si>
  <si>
    <t>Instruction</t>
  </si>
  <si>
    <t>Type</t>
  </si>
  <si>
    <t>Opcode</t>
  </si>
  <si>
    <t>Funct3</t>
  </si>
  <si>
    <t>Funct7</t>
  </si>
  <si>
    <t>Binary</t>
  </si>
  <si>
    <t>Decimal</t>
  </si>
  <si>
    <t>RegWEn</t>
  </si>
  <si>
    <t>ImmSel</t>
  </si>
  <si>
    <t>BrUn</t>
  </si>
  <si>
    <t>ASel</t>
  </si>
  <si>
    <t>BSel</t>
  </si>
  <si>
    <t>ALUSel</t>
  </si>
  <si>
    <t>MemRW</t>
  </si>
  <si>
    <t>WBSel</t>
  </si>
  <si>
    <t>Hex</t>
  </si>
  <si>
    <t>Bin0:7</t>
  </si>
  <si>
    <t>Bin:8:16</t>
  </si>
  <si>
    <t>Hex:0:7</t>
  </si>
  <si>
    <t>Hex:8:17</t>
  </si>
  <si>
    <t>Decimal Index</t>
  </si>
  <si>
    <t>Binary Index</t>
  </si>
  <si>
    <t>1 binary digit</t>
  </si>
  <si>
    <t>3 binary digits</t>
  </si>
  <si>
    <t>4 binary digits</t>
  </si>
  <si>
    <t>2 binary digits</t>
  </si>
  <si>
    <t>add rd, rs1, rs2</t>
  </si>
  <si>
    <t>R</t>
  </si>
  <si>
    <t>0b0110011</t>
  </si>
  <si>
    <t>0b000</t>
  </si>
  <si>
    <t>0b0000000</t>
  </si>
  <si>
    <t>1</t>
  </si>
  <si>
    <t>111</t>
  </si>
  <si>
    <t>0</t>
  </si>
  <si>
    <t>0000</t>
  </si>
  <si>
    <t>01</t>
  </si>
  <si>
    <t>mul rd, rs1, rs2</t>
  </si>
  <si>
    <t>0b0000001</t>
  </si>
  <si>
    <t>1000</t>
  </si>
  <si>
    <t>sub rd, rs1, rs2</t>
  </si>
  <si>
    <t>0b0100000</t>
  </si>
  <si>
    <t>1100</t>
  </si>
  <si>
    <t>sll rd, rs1, rs2</t>
  </si>
  <si>
    <t>0b001</t>
  </si>
  <si>
    <t>0001</t>
  </si>
  <si>
    <t>mulh rd, rs1, rs2</t>
  </si>
  <si>
    <t>1001</t>
  </si>
  <si>
    <t>mulhu rd, rs1, rs2</t>
  </si>
  <si>
    <t>0b011</t>
  </si>
  <si>
    <t>1011</t>
  </si>
  <si>
    <t>slt rd, rs1, rs2</t>
  </si>
  <si>
    <t>0b010</t>
  </si>
  <si>
    <t>0010</t>
  </si>
  <si>
    <t>xor rd, rs1, rs2</t>
  </si>
  <si>
    <t>0b100</t>
  </si>
  <si>
    <t>0100</t>
  </si>
  <si>
    <t>srl rd, rs1, rs2</t>
  </si>
  <si>
    <t>0b101</t>
  </si>
  <si>
    <t>0101</t>
  </si>
  <si>
    <t>sra rd, rs1, rs2</t>
  </si>
  <si>
    <t>1101</t>
  </si>
  <si>
    <t>or rd, rs1, rs2</t>
  </si>
  <si>
    <t>0b110</t>
  </si>
  <si>
    <t>0110</t>
  </si>
  <si>
    <t>and rd, rs1, rs2</t>
  </si>
  <si>
    <t>0b111</t>
  </si>
  <si>
    <t>0111</t>
  </si>
  <si>
    <t>lb rd, offset(rs1)</t>
  </si>
  <si>
    <t>I</t>
  </si>
  <si>
    <t>0b0000011</t>
  </si>
  <si>
    <t>000</t>
  </si>
  <si>
    <t>00</t>
  </si>
  <si>
    <t>lh rd, offset(rs1)</t>
  </si>
  <si>
    <t>lw rd, offset(rs1)</t>
  </si>
  <si>
    <t>addi rd, rs1, imm</t>
  </si>
  <si>
    <t>0b0010011</t>
  </si>
  <si>
    <t>slli rd, rs1, imm</t>
  </si>
  <si>
    <t>slti rd, rs1, imm</t>
  </si>
  <si>
    <t>xori rd, rs1, imm</t>
  </si>
  <si>
    <t>srli rd, rs1, imm</t>
  </si>
  <si>
    <t>srai rd, rs1, imm</t>
  </si>
  <si>
    <t>ori rd, rs1, imm</t>
  </si>
  <si>
    <t>andi rd, rs1, imm</t>
  </si>
  <si>
    <t>sb rs2, offset(rs1)</t>
  </si>
  <si>
    <t>S</t>
  </si>
  <si>
    <t>0b0100011</t>
  </si>
  <si>
    <t>001</t>
  </si>
  <si>
    <t>sh rs2, offset(rs1)</t>
  </si>
  <si>
    <t>sw rs2, offset(rs1)</t>
  </si>
  <si>
    <t>beq rs1, rs2, offset</t>
  </si>
  <si>
    <t>B</t>
  </si>
  <si>
    <t>0b1100011</t>
  </si>
  <si>
    <t>010</t>
  </si>
  <si>
    <t>bne rs1, rs2, offset</t>
  </si>
  <si>
    <t>blt rs1, rs2, offset</t>
  </si>
  <si>
    <t>bge rs1, rs2, offset</t>
  </si>
  <si>
    <t>bltu rs1, rs2, offset</t>
  </si>
  <si>
    <t>bgeu rs1, rs2, offset</t>
  </si>
  <si>
    <t>auipc rd, offset</t>
  </si>
  <si>
    <t>U</t>
  </si>
  <si>
    <t>0b0010111</t>
  </si>
  <si>
    <t>011</t>
  </si>
  <si>
    <t>lui rd, offset</t>
  </si>
  <si>
    <t>0b0110111</t>
  </si>
  <si>
    <t>1111</t>
  </si>
  <si>
    <t>jal rd, imm</t>
  </si>
  <si>
    <t>J</t>
  </si>
  <si>
    <t>0b1101111</t>
  </si>
  <si>
    <t>100</t>
  </si>
  <si>
    <t>10</t>
  </si>
  <si>
    <t>jalr rd, rs1, imm</t>
  </si>
  <si>
    <t>0b1100111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</si>
</sst>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4F758C"/>
      <name val="Arial"/>
    </font>
    <font/>
    <font>
      <b/>
      <sz val="11.0"/>
      <color rgb="FF000000"/>
      <name val="Arial"/>
    </font>
    <font>
      <b/>
      <color theme="1"/>
      <name val="Arial"/>
    </font>
    <font>
      <color theme="1"/>
      <name val="Arial"/>
    </font>
    <font>
      <b/>
      <sz val="10.0"/>
      <color theme="1"/>
      <name val="Courier New"/>
    </font>
    <font>
      <b/>
      <color theme="1"/>
      <name val="Courier New"/>
    </font>
    <font>
      <b/>
      <color rgb="FF000000"/>
      <name val="Courier New"/>
    </font>
    <font>
      <color theme="1"/>
      <name val="Courier New"/>
    </font>
    <font>
      <b/>
      <sz val="10.0"/>
      <color rgb="FF222222"/>
      <name val="Courier New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3">
    <border/>
    <border>
      <right style="medium">
        <color rgb="FF000000"/>
      </right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3" numFmtId="0" xfId="0" applyBorder="1" applyFont="1"/>
    <xf borderId="2" fillId="0" fontId="2" numFmtId="49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3" fontId="2" numFmtId="0" xfId="0" applyAlignment="1" applyFill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4" numFmtId="49" xfId="0" applyAlignment="1" applyBorder="1" applyFont="1" applyNumberFormat="1">
      <alignment horizont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49" xfId="0" applyAlignment="1" applyBorder="1" applyFont="1" applyNumberFormat="1">
      <alignment horizontal="center"/>
    </xf>
    <xf borderId="2" fillId="0" fontId="5" numFmtId="49" xfId="0" applyAlignment="1" applyBorder="1" applyFont="1" applyNumberFormat="1">
      <alignment horizontal="center"/>
    </xf>
    <xf borderId="0" fillId="0" fontId="5" numFmtId="49" xfId="0" applyAlignment="1" applyFont="1" applyNumberFormat="1">
      <alignment horizontal="center"/>
    </xf>
    <xf borderId="2" fillId="0" fontId="6" numFmtId="0" xfId="0" applyBorder="1" applyFont="1"/>
    <xf borderId="0" fillId="3" fontId="6" numFmtId="0" xfId="0" applyFill="1" applyFont="1"/>
    <xf borderId="1" fillId="3" fontId="6" numFmtId="0" xfId="0" applyBorder="1" applyFill="1" applyFont="1"/>
    <xf borderId="0" fillId="0" fontId="6" numFmtId="49" xfId="0" applyAlignment="1" applyFont="1" applyNumberFormat="1">
      <alignment horizontal="center" shrinkToFit="0" wrapText="1"/>
    </xf>
    <xf borderId="0" fillId="0" fontId="6" numFmtId="49" xfId="0" applyAlignment="1" applyFont="1" applyNumberFormat="1">
      <alignment horizontal="center" shrinkToFit="0" vertical="bottom" wrapText="1"/>
    </xf>
    <xf borderId="0" fillId="4" fontId="6" numFmtId="0" xfId="0" applyAlignment="1" applyFill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0" fillId="0" fontId="8" numFmtId="49" xfId="0" applyAlignment="1" applyFont="1" applyNumberFormat="1">
      <alignment readingOrder="0"/>
    </xf>
    <xf borderId="0" fillId="5" fontId="9" numFmtId="0" xfId="0" applyAlignment="1" applyFill="1" applyFont="1">
      <alignment horizontal="center"/>
    </xf>
    <xf borderId="0" fillId="0" fontId="7" numFmtId="0" xfId="0" applyAlignment="1" applyFont="1">
      <alignment horizontal="center" vertical="center"/>
    </xf>
    <xf borderId="1" fillId="6" fontId="10" numFmtId="0" xfId="0" applyAlignment="1" applyBorder="1" applyFill="1" applyFont="1">
      <alignment horizontal="center" vertical="center"/>
    </xf>
    <xf borderId="0" fillId="0" fontId="6" numFmtId="49" xfId="0" applyAlignment="1" applyFont="1" applyNumberFormat="1">
      <alignment horizontal="center"/>
    </xf>
    <xf borderId="2" fillId="0" fontId="8" numFmtId="49" xfId="0" applyAlignment="1" applyBorder="1" applyFont="1" applyNumberFormat="1">
      <alignment vertical="bottom"/>
    </xf>
    <xf borderId="0" fillId="0" fontId="8" numFmtId="49" xfId="0" applyAlignment="1" applyFont="1" applyNumberFormat="1">
      <alignment vertical="bottom"/>
    </xf>
    <xf borderId="0" fillId="0" fontId="8" numFmtId="49" xfId="0" applyAlignment="1" applyFont="1" applyNumberFormat="1">
      <alignment readingOrder="0" vertical="bottom"/>
    </xf>
    <xf borderId="0" fillId="5" fontId="11" numFmtId="0" xfId="0" applyFill="1" applyFont="1"/>
    <xf borderId="0" fillId="6" fontId="10" numFmtId="0" xfId="0" applyAlignment="1" applyFill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5.75"/>
    <col customWidth="1" min="2" max="2" width="5.38"/>
    <col customWidth="1" min="3" max="3" width="9.88"/>
    <col customWidth="1" min="4" max="4" width="7.5"/>
    <col customWidth="1" min="5" max="5" width="11.5"/>
    <col customWidth="1" min="6" max="6" width="10.25"/>
    <col customWidth="1" min="7" max="7" width="7.0"/>
    <col customWidth="1" min="17" max="17" width="16.75"/>
    <col customWidth="1" min="18" max="23" width="12.63"/>
  </cols>
  <sheetData>
    <row r="1" ht="15.75" customHeight="1">
      <c r="A1" s="1" t="s">
        <v>0</v>
      </c>
      <c r="B1" s="2" t="s">
        <v>1</v>
      </c>
      <c r="E1" s="3"/>
      <c r="F1" s="2" t="s">
        <v>2</v>
      </c>
      <c r="G1" s="3"/>
      <c r="H1" s="4" t="s">
        <v>3</v>
      </c>
      <c r="O1" s="3"/>
      <c r="P1" s="5" t="s">
        <v>4</v>
      </c>
      <c r="Q1" s="6" t="s">
        <v>5</v>
      </c>
    </row>
    <row r="2" ht="15.75" customHeight="1">
      <c r="B2" s="2"/>
      <c r="C2" s="2"/>
      <c r="D2" s="2"/>
      <c r="E2" s="7"/>
      <c r="F2" s="2"/>
      <c r="G2" s="7"/>
      <c r="H2" s="8" t="s">
        <v>6</v>
      </c>
      <c r="O2" s="3"/>
      <c r="P2" s="5"/>
      <c r="Q2" s="6"/>
      <c r="R2" s="6"/>
      <c r="S2" s="6"/>
      <c r="T2" s="6"/>
      <c r="U2" s="6"/>
      <c r="V2" s="6"/>
      <c r="W2" s="6"/>
    </row>
    <row r="3" ht="15.75" customHeight="1">
      <c r="A3" s="9" t="s">
        <v>7</v>
      </c>
      <c r="B3" s="10" t="s">
        <v>8</v>
      </c>
      <c r="C3" s="10" t="s">
        <v>9</v>
      </c>
      <c r="D3" s="10" t="s">
        <v>10</v>
      </c>
      <c r="E3" s="11" t="s">
        <v>11</v>
      </c>
      <c r="F3" s="10" t="s">
        <v>12</v>
      </c>
      <c r="G3" s="12" t="s">
        <v>13</v>
      </c>
      <c r="H3" s="13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5" t="s">
        <v>22</v>
      </c>
      <c r="Q3" s="16" t="s">
        <v>12</v>
      </c>
      <c r="R3" s="16" t="s">
        <v>23</v>
      </c>
      <c r="S3" s="16" t="s">
        <v>24</v>
      </c>
      <c r="T3" s="16" t="s">
        <v>25</v>
      </c>
      <c r="U3" s="17" t="s">
        <v>26</v>
      </c>
      <c r="V3" s="16" t="s">
        <v>27</v>
      </c>
      <c r="W3" s="16" t="s">
        <v>28</v>
      </c>
    </row>
    <row r="4" ht="15.75" customHeight="1">
      <c r="A4" s="9"/>
      <c r="B4" s="10"/>
      <c r="C4" s="10"/>
      <c r="D4" s="10"/>
      <c r="E4" s="11"/>
      <c r="F4" s="10"/>
      <c r="G4" s="12"/>
      <c r="H4" s="18" t="s">
        <v>29</v>
      </c>
      <c r="I4" s="19" t="s">
        <v>30</v>
      </c>
      <c r="J4" s="19" t="s">
        <v>29</v>
      </c>
      <c r="K4" s="19" t="s">
        <v>29</v>
      </c>
      <c r="L4" s="19" t="s">
        <v>29</v>
      </c>
      <c r="M4" s="19" t="s">
        <v>31</v>
      </c>
      <c r="N4" s="19" t="s">
        <v>29</v>
      </c>
      <c r="O4" s="19" t="s">
        <v>32</v>
      </c>
      <c r="P4" s="15"/>
      <c r="Q4" s="16"/>
      <c r="R4" s="16"/>
      <c r="S4" s="16"/>
      <c r="T4" s="16"/>
      <c r="U4" s="17"/>
      <c r="V4" s="16"/>
      <c r="W4" s="16"/>
    </row>
    <row r="5" ht="15.75" customHeight="1">
      <c r="A5" s="20" t="s">
        <v>33</v>
      </c>
      <c r="B5" s="10" t="s">
        <v>34</v>
      </c>
      <c r="C5" s="21" t="s">
        <v>35</v>
      </c>
      <c r="D5" s="22" t="s">
        <v>36</v>
      </c>
      <c r="E5" s="23" t="s">
        <v>37</v>
      </c>
      <c r="F5" s="22" t="str">
        <f>IFERROR(__xludf.DUMMYFUNCTION("CONCATENATE(""0b"", TO_TEXT(W5))"),"0b000000")</f>
        <v>0b000000</v>
      </c>
      <c r="G5" s="12">
        <f t="shared" ref="G5:G40" si="2">V5</f>
        <v>0</v>
      </c>
      <c r="H5" s="24" t="s">
        <v>38</v>
      </c>
      <c r="I5" s="24" t="s">
        <v>39</v>
      </c>
      <c r="J5" s="24" t="s">
        <v>40</v>
      </c>
      <c r="K5" s="24" t="s">
        <v>40</v>
      </c>
      <c r="L5" s="24" t="s">
        <v>40</v>
      </c>
      <c r="M5" s="24" t="s">
        <v>41</v>
      </c>
      <c r="N5" s="24" t="s">
        <v>40</v>
      </c>
      <c r="O5" s="24" t="s">
        <v>42</v>
      </c>
      <c r="P5" s="15" t="str">
        <f t="shared" ref="P5:P40" si="3">CONCATENATE(U5,T5)</f>
        <v>100F</v>
      </c>
      <c r="Q5" s="16" t="str">
        <f t="shared" ref="Q5:Q40" si="4">TEXT(CONCATENATE(O5, N5, M5, L5, K5, J5, I5, H5), "0000000000000000")</f>
        <v>0001000000001111</v>
      </c>
      <c r="R5" s="16" t="str">
        <f t="shared" ref="R5:R40" si="5">right(Q5,8)</f>
        <v>00001111</v>
      </c>
      <c r="S5" s="16" t="str">
        <f t="shared" ref="S5:S40" si="6">left(Q5,8)</f>
        <v>00010000</v>
      </c>
      <c r="T5" s="16" t="str">
        <f t="shared" ref="T5:U5" si="1">bin2hex(R5,2)</f>
        <v>0F</v>
      </c>
      <c r="U5" s="17" t="str">
        <f t="shared" si="1"/>
        <v>10</v>
      </c>
      <c r="V5" s="16">
        <v>0.0</v>
      </c>
      <c r="W5" s="16" t="str">
        <f t="shared" ref="W5:W40" si="8">DEC2BIN(V5, 6)</f>
        <v>000000</v>
      </c>
    </row>
    <row r="6" ht="15.75" customHeight="1">
      <c r="A6" s="20" t="s">
        <v>43</v>
      </c>
      <c r="D6" s="22" t="s">
        <v>36</v>
      </c>
      <c r="E6" s="23" t="s">
        <v>44</v>
      </c>
      <c r="F6" s="22" t="str">
        <f>IFERROR(__xludf.DUMMYFUNCTION("CONCATENATE(""0b"", TO_TEXT(W6))"),"0b000001")</f>
        <v>0b000001</v>
      </c>
      <c r="G6" s="12">
        <f t="shared" si="2"/>
        <v>1</v>
      </c>
      <c r="H6" s="24" t="s">
        <v>38</v>
      </c>
      <c r="I6" s="24" t="s">
        <v>39</v>
      </c>
      <c r="J6" s="24" t="s">
        <v>40</v>
      </c>
      <c r="K6" s="24" t="s">
        <v>40</v>
      </c>
      <c r="L6" s="24" t="s">
        <v>40</v>
      </c>
      <c r="M6" s="24" t="s">
        <v>45</v>
      </c>
      <c r="N6" s="24" t="s">
        <v>40</v>
      </c>
      <c r="O6" s="24" t="s">
        <v>42</v>
      </c>
      <c r="P6" s="15" t="str">
        <f t="shared" si="3"/>
        <v>140F</v>
      </c>
      <c r="Q6" s="16" t="str">
        <f t="shared" si="4"/>
        <v>0001010000001111</v>
      </c>
      <c r="R6" s="16" t="str">
        <f t="shared" si="5"/>
        <v>00001111</v>
      </c>
      <c r="S6" s="16" t="str">
        <f t="shared" si="6"/>
        <v>00010100</v>
      </c>
      <c r="T6" s="16" t="str">
        <f t="shared" ref="T6:U6" si="7">bin2hex(R6,2)</f>
        <v>0F</v>
      </c>
      <c r="U6" s="17" t="str">
        <f t="shared" si="7"/>
        <v>14</v>
      </c>
      <c r="V6" s="16">
        <v>1.0</v>
      </c>
      <c r="W6" s="16" t="str">
        <f t="shared" si="8"/>
        <v>000001</v>
      </c>
    </row>
    <row r="7" ht="15.75" customHeight="1">
      <c r="A7" s="20" t="s">
        <v>46</v>
      </c>
      <c r="D7" s="22" t="s">
        <v>36</v>
      </c>
      <c r="E7" s="23" t="s">
        <v>47</v>
      </c>
      <c r="F7" s="22" t="str">
        <f>IFERROR(__xludf.DUMMYFUNCTION("CONCATENATE(""0b"", TO_TEXT(W7))"),"0b000010")</f>
        <v>0b000010</v>
      </c>
      <c r="G7" s="12">
        <f t="shared" si="2"/>
        <v>2</v>
      </c>
      <c r="H7" s="24" t="s">
        <v>38</v>
      </c>
      <c r="I7" s="24" t="s">
        <v>39</v>
      </c>
      <c r="J7" s="24" t="s">
        <v>40</v>
      </c>
      <c r="K7" s="24" t="s">
        <v>40</v>
      </c>
      <c r="L7" s="24" t="s">
        <v>40</v>
      </c>
      <c r="M7" s="24" t="s">
        <v>48</v>
      </c>
      <c r="N7" s="24" t="s">
        <v>40</v>
      </c>
      <c r="O7" s="24" t="s">
        <v>42</v>
      </c>
      <c r="P7" s="15" t="str">
        <f t="shared" si="3"/>
        <v>160F</v>
      </c>
      <c r="Q7" s="16" t="str">
        <f t="shared" si="4"/>
        <v>0001011000001111</v>
      </c>
      <c r="R7" s="16" t="str">
        <f t="shared" si="5"/>
        <v>00001111</v>
      </c>
      <c r="S7" s="16" t="str">
        <f t="shared" si="6"/>
        <v>00010110</v>
      </c>
      <c r="T7" s="16" t="str">
        <f t="shared" ref="T7:U7" si="9">bin2hex(R7,2)</f>
        <v>0F</v>
      </c>
      <c r="U7" s="17" t="str">
        <f t="shared" si="9"/>
        <v>16</v>
      </c>
      <c r="V7" s="16">
        <v>2.0</v>
      </c>
      <c r="W7" s="16" t="str">
        <f t="shared" si="8"/>
        <v>000010</v>
      </c>
    </row>
    <row r="8" ht="15.75" customHeight="1">
      <c r="A8" s="20" t="s">
        <v>49</v>
      </c>
      <c r="D8" s="22" t="s">
        <v>50</v>
      </c>
      <c r="E8" s="23" t="s">
        <v>37</v>
      </c>
      <c r="F8" s="22" t="str">
        <f>IFERROR(__xludf.DUMMYFUNCTION("CONCATENATE(""0b"", TO_TEXT(W8))"),"0b000011")</f>
        <v>0b000011</v>
      </c>
      <c r="G8" s="12">
        <f t="shared" si="2"/>
        <v>3</v>
      </c>
      <c r="H8" s="24" t="s">
        <v>38</v>
      </c>
      <c r="I8" s="24" t="s">
        <v>39</v>
      </c>
      <c r="J8" s="24" t="s">
        <v>40</v>
      </c>
      <c r="K8" s="24" t="s">
        <v>40</v>
      </c>
      <c r="L8" s="24" t="s">
        <v>40</v>
      </c>
      <c r="M8" s="24" t="s">
        <v>51</v>
      </c>
      <c r="N8" s="24" t="s">
        <v>40</v>
      </c>
      <c r="O8" s="24" t="s">
        <v>42</v>
      </c>
      <c r="P8" s="15" t="str">
        <f t="shared" si="3"/>
        <v>108F</v>
      </c>
      <c r="Q8" s="16" t="str">
        <f t="shared" si="4"/>
        <v>0001000010001111</v>
      </c>
      <c r="R8" s="16" t="str">
        <f t="shared" si="5"/>
        <v>10001111</v>
      </c>
      <c r="S8" s="16" t="str">
        <f t="shared" si="6"/>
        <v>00010000</v>
      </c>
      <c r="T8" s="16" t="str">
        <f t="shared" ref="T8:U8" si="10">bin2hex(R8,2)</f>
        <v>8F</v>
      </c>
      <c r="U8" s="17" t="str">
        <f t="shared" si="10"/>
        <v>10</v>
      </c>
      <c r="V8" s="16">
        <v>3.0</v>
      </c>
      <c r="W8" s="16" t="str">
        <f t="shared" si="8"/>
        <v>000011</v>
      </c>
    </row>
    <row r="9" ht="15.75" customHeight="1">
      <c r="A9" s="20" t="s">
        <v>52</v>
      </c>
      <c r="D9" s="25" t="s">
        <v>50</v>
      </c>
      <c r="E9" s="23" t="s">
        <v>44</v>
      </c>
      <c r="F9" s="22" t="str">
        <f>IFERROR(__xludf.DUMMYFUNCTION("CONCATENATE(""0b"", TO_TEXT(W9))"),"0b000100")</f>
        <v>0b000100</v>
      </c>
      <c r="G9" s="12">
        <f t="shared" si="2"/>
        <v>4</v>
      </c>
      <c r="H9" s="24" t="s">
        <v>38</v>
      </c>
      <c r="I9" s="24" t="s">
        <v>39</v>
      </c>
      <c r="J9" s="24" t="s">
        <v>40</v>
      </c>
      <c r="K9" s="24" t="s">
        <v>40</v>
      </c>
      <c r="L9" s="24" t="s">
        <v>40</v>
      </c>
      <c r="M9" s="24" t="s">
        <v>53</v>
      </c>
      <c r="N9" s="24" t="s">
        <v>40</v>
      </c>
      <c r="O9" s="24" t="s">
        <v>42</v>
      </c>
      <c r="P9" s="15" t="str">
        <f t="shared" si="3"/>
        <v>148F</v>
      </c>
      <c r="Q9" s="16" t="str">
        <f t="shared" si="4"/>
        <v>0001010010001111</v>
      </c>
      <c r="R9" s="16" t="str">
        <f t="shared" si="5"/>
        <v>10001111</v>
      </c>
      <c r="S9" s="16" t="str">
        <f t="shared" si="6"/>
        <v>00010100</v>
      </c>
      <c r="T9" s="16" t="str">
        <f t="shared" ref="T9:U9" si="11">bin2hex(R9,2)</f>
        <v>8F</v>
      </c>
      <c r="U9" s="17" t="str">
        <f t="shared" si="11"/>
        <v>14</v>
      </c>
      <c r="V9" s="16">
        <v>4.0</v>
      </c>
      <c r="W9" s="16" t="str">
        <f t="shared" si="8"/>
        <v>000100</v>
      </c>
    </row>
    <row r="10" ht="15.75" customHeight="1">
      <c r="A10" s="20" t="s">
        <v>54</v>
      </c>
      <c r="D10" s="22" t="s">
        <v>55</v>
      </c>
      <c r="E10" s="23" t="s">
        <v>44</v>
      </c>
      <c r="F10" s="22" t="str">
        <f>IFERROR(__xludf.DUMMYFUNCTION("CONCATENATE(""0b"", TO_TEXT(W10))"),"0b000101")</f>
        <v>0b000101</v>
      </c>
      <c r="G10" s="12">
        <f t="shared" si="2"/>
        <v>5</v>
      </c>
      <c r="H10" s="24" t="s">
        <v>38</v>
      </c>
      <c r="I10" s="24" t="s">
        <v>39</v>
      </c>
      <c r="J10" s="24" t="s">
        <v>40</v>
      </c>
      <c r="K10" s="24" t="s">
        <v>40</v>
      </c>
      <c r="L10" s="24" t="s">
        <v>40</v>
      </c>
      <c r="M10" s="24" t="s">
        <v>56</v>
      </c>
      <c r="N10" s="24" t="s">
        <v>40</v>
      </c>
      <c r="O10" s="24" t="s">
        <v>42</v>
      </c>
      <c r="P10" s="15" t="str">
        <f t="shared" si="3"/>
        <v>158F</v>
      </c>
      <c r="Q10" s="16" t="str">
        <f t="shared" si="4"/>
        <v>0001010110001111</v>
      </c>
      <c r="R10" s="16" t="str">
        <f t="shared" si="5"/>
        <v>10001111</v>
      </c>
      <c r="S10" s="16" t="str">
        <f t="shared" si="6"/>
        <v>00010101</v>
      </c>
      <c r="T10" s="16" t="str">
        <f t="shared" ref="T10:U10" si="12">bin2hex(R10,2)</f>
        <v>8F</v>
      </c>
      <c r="U10" s="17" t="str">
        <f t="shared" si="12"/>
        <v>15</v>
      </c>
      <c r="V10" s="16">
        <v>5.0</v>
      </c>
      <c r="W10" s="16" t="str">
        <f t="shared" si="8"/>
        <v>000101</v>
      </c>
    </row>
    <row r="11" ht="15.75" customHeight="1">
      <c r="A11" s="20" t="s">
        <v>57</v>
      </c>
      <c r="D11" s="22" t="s">
        <v>58</v>
      </c>
      <c r="E11" s="23" t="s">
        <v>37</v>
      </c>
      <c r="F11" s="22" t="str">
        <f>IFERROR(__xludf.DUMMYFUNCTION("CONCATENATE(""0b"", TO_TEXT(W11))"),"0b000110")</f>
        <v>0b000110</v>
      </c>
      <c r="G11" s="12">
        <f t="shared" si="2"/>
        <v>6</v>
      </c>
      <c r="H11" s="24" t="s">
        <v>38</v>
      </c>
      <c r="I11" s="24" t="s">
        <v>39</v>
      </c>
      <c r="J11" s="24" t="s">
        <v>40</v>
      </c>
      <c r="K11" s="24" t="s">
        <v>40</v>
      </c>
      <c r="L11" s="24" t="s">
        <v>40</v>
      </c>
      <c r="M11" s="24" t="s">
        <v>59</v>
      </c>
      <c r="N11" s="24" t="s">
        <v>40</v>
      </c>
      <c r="O11" s="24" t="s">
        <v>42</v>
      </c>
      <c r="P11" s="15" t="str">
        <f t="shared" si="3"/>
        <v>110F</v>
      </c>
      <c r="Q11" s="16" t="str">
        <f t="shared" si="4"/>
        <v>0001000100001111</v>
      </c>
      <c r="R11" s="16" t="str">
        <f t="shared" si="5"/>
        <v>00001111</v>
      </c>
      <c r="S11" s="16" t="str">
        <f t="shared" si="6"/>
        <v>00010001</v>
      </c>
      <c r="T11" s="16" t="str">
        <f t="shared" ref="T11:U11" si="13">bin2hex(R11,2)</f>
        <v>0F</v>
      </c>
      <c r="U11" s="17" t="str">
        <f t="shared" si="13"/>
        <v>11</v>
      </c>
      <c r="V11" s="16">
        <v>6.0</v>
      </c>
      <c r="W11" s="16" t="str">
        <f t="shared" si="8"/>
        <v>000110</v>
      </c>
    </row>
    <row r="12" ht="15.75" customHeight="1">
      <c r="A12" s="20" t="s">
        <v>60</v>
      </c>
      <c r="D12" s="22" t="s">
        <v>61</v>
      </c>
      <c r="E12" s="23" t="s">
        <v>37</v>
      </c>
      <c r="F12" s="22" t="str">
        <f>IFERROR(__xludf.DUMMYFUNCTION("CONCATENATE(""0b"", TO_TEXT(W12))"),"0b000111")</f>
        <v>0b000111</v>
      </c>
      <c r="G12" s="12">
        <f t="shared" si="2"/>
        <v>7</v>
      </c>
      <c r="H12" s="24" t="s">
        <v>38</v>
      </c>
      <c r="I12" s="24" t="s">
        <v>39</v>
      </c>
      <c r="J12" s="24" t="s">
        <v>40</v>
      </c>
      <c r="K12" s="24" t="s">
        <v>40</v>
      </c>
      <c r="L12" s="24" t="s">
        <v>40</v>
      </c>
      <c r="M12" s="24" t="s">
        <v>62</v>
      </c>
      <c r="N12" s="24" t="s">
        <v>40</v>
      </c>
      <c r="O12" s="24" t="s">
        <v>42</v>
      </c>
      <c r="P12" s="15" t="str">
        <f t="shared" si="3"/>
        <v>120F</v>
      </c>
      <c r="Q12" s="16" t="str">
        <f t="shared" si="4"/>
        <v>0001001000001111</v>
      </c>
      <c r="R12" s="16" t="str">
        <f t="shared" si="5"/>
        <v>00001111</v>
      </c>
      <c r="S12" s="16" t="str">
        <f t="shared" si="6"/>
        <v>00010010</v>
      </c>
      <c r="T12" s="16" t="str">
        <f t="shared" ref="T12:U12" si="14">bin2hex(R12,2)</f>
        <v>0F</v>
      </c>
      <c r="U12" s="17" t="str">
        <f t="shared" si="14"/>
        <v>12</v>
      </c>
      <c r="V12" s="16">
        <v>7.0</v>
      </c>
      <c r="W12" s="16" t="str">
        <f t="shared" si="8"/>
        <v>000111</v>
      </c>
    </row>
    <row r="13" ht="15.75" customHeight="1">
      <c r="A13" s="20" t="s">
        <v>63</v>
      </c>
      <c r="D13" s="22" t="s">
        <v>64</v>
      </c>
      <c r="E13" s="23" t="s">
        <v>37</v>
      </c>
      <c r="F13" s="22" t="str">
        <f>IFERROR(__xludf.DUMMYFUNCTION("CONCATENATE(""0b"", TO_TEXT(W13))"),"0b001000")</f>
        <v>0b001000</v>
      </c>
      <c r="G13" s="12">
        <f t="shared" si="2"/>
        <v>8</v>
      </c>
      <c r="H13" s="24" t="s">
        <v>38</v>
      </c>
      <c r="I13" s="24" t="s">
        <v>39</v>
      </c>
      <c r="J13" s="24" t="s">
        <v>40</v>
      </c>
      <c r="K13" s="24" t="s">
        <v>40</v>
      </c>
      <c r="L13" s="24" t="s">
        <v>40</v>
      </c>
      <c r="M13" s="24" t="s">
        <v>65</v>
      </c>
      <c r="N13" s="24" t="s">
        <v>40</v>
      </c>
      <c r="O13" s="24" t="s">
        <v>42</v>
      </c>
      <c r="P13" s="15" t="str">
        <f t="shared" si="3"/>
        <v>128F</v>
      </c>
      <c r="Q13" s="16" t="str">
        <f t="shared" si="4"/>
        <v>0001001010001111</v>
      </c>
      <c r="R13" s="16" t="str">
        <f t="shared" si="5"/>
        <v>10001111</v>
      </c>
      <c r="S13" s="16" t="str">
        <f t="shared" si="6"/>
        <v>00010010</v>
      </c>
      <c r="T13" s="16" t="str">
        <f t="shared" ref="T13:U13" si="15">bin2hex(R13,2)</f>
        <v>8F</v>
      </c>
      <c r="U13" s="17" t="str">
        <f t="shared" si="15"/>
        <v>12</v>
      </c>
      <c r="V13" s="16">
        <v>8.0</v>
      </c>
      <c r="W13" s="16" t="str">
        <f t="shared" si="8"/>
        <v>001000</v>
      </c>
    </row>
    <row r="14" ht="15.75" customHeight="1">
      <c r="A14" s="20" t="s">
        <v>66</v>
      </c>
      <c r="D14" s="22" t="s">
        <v>64</v>
      </c>
      <c r="E14" s="23" t="s">
        <v>47</v>
      </c>
      <c r="F14" s="22" t="str">
        <f>IFERROR(__xludf.DUMMYFUNCTION("CONCATENATE(""0b"", TO_TEXT(W14))"),"0b001001")</f>
        <v>0b001001</v>
      </c>
      <c r="G14" s="12">
        <f t="shared" si="2"/>
        <v>9</v>
      </c>
      <c r="H14" s="24" t="s">
        <v>38</v>
      </c>
      <c r="I14" s="24" t="s">
        <v>39</v>
      </c>
      <c r="J14" s="24" t="s">
        <v>40</v>
      </c>
      <c r="K14" s="24" t="s">
        <v>40</v>
      </c>
      <c r="L14" s="24" t="s">
        <v>40</v>
      </c>
      <c r="M14" s="24" t="s">
        <v>67</v>
      </c>
      <c r="N14" s="24" t="s">
        <v>40</v>
      </c>
      <c r="O14" s="24" t="s">
        <v>42</v>
      </c>
      <c r="P14" s="15" t="str">
        <f t="shared" si="3"/>
        <v>168F</v>
      </c>
      <c r="Q14" s="16" t="str">
        <f t="shared" si="4"/>
        <v>0001011010001111</v>
      </c>
      <c r="R14" s="16" t="str">
        <f t="shared" si="5"/>
        <v>10001111</v>
      </c>
      <c r="S14" s="16" t="str">
        <f t="shared" si="6"/>
        <v>00010110</v>
      </c>
      <c r="T14" s="16" t="str">
        <f t="shared" ref="T14:U14" si="16">bin2hex(R14,2)</f>
        <v>8F</v>
      </c>
      <c r="U14" s="17" t="str">
        <f t="shared" si="16"/>
        <v>16</v>
      </c>
      <c r="V14" s="16">
        <v>9.0</v>
      </c>
      <c r="W14" s="16" t="str">
        <f t="shared" si="8"/>
        <v>001001</v>
      </c>
    </row>
    <row r="15" ht="15.75" customHeight="1">
      <c r="A15" s="20" t="s">
        <v>68</v>
      </c>
      <c r="D15" s="22" t="s">
        <v>69</v>
      </c>
      <c r="E15" s="23" t="s">
        <v>37</v>
      </c>
      <c r="F15" s="22" t="str">
        <f>IFERROR(__xludf.DUMMYFUNCTION("CONCATENATE(""0b"", TO_TEXT(W15))"),"0b001010")</f>
        <v>0b001010</v>
      </c>
      <c r="G15" s="12">
        <f t="shared" si="2"/>
        <v>10</v>
      </c>
      <c r="H15" s="24" t="s">
        <v>38</v>
      </c>
      <c r="I15" s="24" t="s">
        <v>39</v>
      </c>
      <c r="J15" s="24" t="s">
        <v>40</v>
      </c>
      <c r="K15" s="24" t="s">
        <v>40</v>
      </c>
      <c r="L15" s="24" t="s">
        <v>40</v>
      </c>
      <c r="M15" s="24" t="s">
        <v>70</v>
      </c>
      <c r="N15" s="24" t="s">
        <v>40</v>
      </c>
      <c r="O15" s="24" t="s">
        <v>42</v>
      </c>
      <c r="P15" s="15" t="str">
        <f t="shared" si="3"/>
        <v>130F</v>
      </c>
      <c r="Q15" s="16" t="str">
        <f t="shared" si="4"/>
        <v>0001001100001111</v>
      </c>
      <c r="R15" s="16" t="str">
        <f t="shared" si="5"/>
        <v>00001111</v>
      </c>
      <c r="S15" s="16" t="str">
        <f t="shared" si="6"/>
        <v>00010011</v>
      </c>
      <c r="T15" s="16" t="str">
        <f t="shared" ref="T15:U15" si="17">bin2hex(R15,2)</f>
        <v>0F</v>
      </c>
      <c r="U15" s="17" t="str">
        <f t="shared" si="17"/>
        <v>13</v>
      </c>
      <c r="V15" s="16">
        <v>10.0</v>
      </c>
      <c r="W15" s="16" t="str">
        <f t="shared" si="8"/>
        <v>001010</v>
      </c>
    </row>
    <row r="16" ht="15.75" customHeight="1">
      <c r="A16" s="20" t="s">
        <v>71</v>
      </c>
      <c r="D16" s="22" t="s">
        <v>72</v>
      </c>
      <c r="E16" s="23" t="s">
        <v>37</v>
      </c>
      <c r="F16" s="22" t="str">
        <f>IFERROR(__xludf.DUMMYFUNCTION("CONCATENATE(""0b"", TO_TEXT(W16))"),"0b001011")</f>
        <v>0b001011</v>
      </c>
      <c r="G16" s="12">
        <f t="shared" si="2"/>
        <v>11</v>
      </c>
      <c r="H16" s="24" t="s">
        <v>38</v>
      </c>
      <c r="I16" s="24" t="s">
        <v>39</v>
      </c>
      <c r="J16" s="24" t="s">
        <v>40</v>
      </c>
      <c r="K16" s="24" t="s">
        <v>40</v>
      </c>
      <c r="L16" s="24" t="s">
        <v>40</v>
      </c>
      <c r="M16" s="24" t="s">
        <v>73</v>
      </c>
      <c r="N16" s="24" t="s">
        <v>40</v>
      </c>
      <c r="O16" s="24" t="s">
        <v>42</v>
      </c>
      <c r="P16" s="15" t="str">
        <f t="shared" si="3"/>
        <v>138F</v>
      </c>
      <c r="Q16" s="16" t="str">
        <f t="shared" si="4"/>
        <v>0001001110001111</v>
      </c>
      <c r="R16" s="16" t="str">
        <f t="shared" si="5"/>
        <v>10001111</v>
      </c>
      <c r="S16" s="16" t="str">
        <f t="shared" si="6"/>
        <v>00010011</v>
      </c>
      <c r="T16" s="16" t="str">
        <f t="shared" ref="T16:U16" si="18">bin2hex(R16,2)</f>
        <v>8F</v>
      </c>
      <c r="U16" s="17" t="str">
        <f t="shared" si="18"/>
        <v>13</v>
      </c>
      <c r="V16" s="16">
        <v>11.0</v>
      </c>
      <c r="W16" s="16" t="str">
        <f t="shared" si="8"/>
        <v>001011</v>
      </c>
    </row>
    <row r="17" ht="15.75" customHeight="1">
      <c r="A17" s="20" t="s">
        <v>74</v>
      </c>
      <c r="B17" s="10" t="s">
        <v>75</v>
      </c>
      <c r="C17" s="26" t="s">
        <v>76</v>
      </c>
      <c r="D17" s="22" t="s">
        <v>36</v>
      </c>
      <c r="E17" s="27"/>
      <c r="F17" s="22" t="str">
        <f>IFERROR(__xludf.DUMMYFUNCTION("CONCATENATE(""0b"", TO_TEXT(W17))"),"0b001100")</f>
        <v>0b001100</v>
      </c>
      <c r="G17" s="12">
        <f t="shared" si="2"/>
        <v>12</v>
      </c>
      <c r="H17" s="24" t="s">
        <v>38</v>
      </c>
      <c r="I17" s="24" t="s">
        <v>77</v>
      </c>
      <c r="J17" s="24" t="s">
        <v>40</v>
      </c>
      <c r="K17" s="24" t="s">
        <v>40</v>
      </c>
      <c r="L17" s="24" t="s">
        <v>38</v>
      </c>
      <c r="M17" s="24" t="s">
        <v>41</v>
      </c>
      <c r="N17" s="24" t="s">
        <v>40</v>
      </c>
      <c r="O17" s="24" t="s">
        <v>78</v>
      </c>
      <c r="P17" s="15" t="str">
        <f t="shared" si="3"/>
        <v>0041</v>
      </c>
      <c r="Q17" s="16" t="str">
        <f t="shared" si="4"/>
        <v>0000000001000001</v>
      </c>
      <c r="R17" s="16" t="str">
        <f t="shared" si="5"/>
        <v>01000001</v>
      </c>
      <c r="S17" s="16" t="str">
        <f t="shared" si="6"/>
        <v>00000000</v>
      </c>
      <c r="T17" s="16" t="str">
        <f t="shared" ref="T17:U17" si="19">bin2hex(R17,2)</f>
        <v>41</v>
      </c>
      <c r="U17" s="17" t="str">
        <f t="shared" si="19"/>
        <v>00</v>
      </c>
      <c r="V17" s="16">
        <v>12.0</v>
      </c>
      <c r="W17" s="16" t="str">
        <f t="shared" si="8"/>
        <v>001100</v>
      </c>
    </row>
    <row r="18" ht="15.75" customHeight="1">
      <c r="A18" s="20" t="s">
        <v>79</v>
      </c>
      <c r="D18" s="25" t="s">
        <v>50</v>
      </c>
      <c r="E18" s="27"/>
      <c r="F18" s="22" t="str">
        <f>IFERROR(__xludf.DUMMYFUNCTION("CONCATENATE(""0b"", TO_TEXT(W18))"),"0b001101")</f>
        <v>0b001101</v>
      </c>
      <c r="G18" s="12">
        <f t="shared" si="2"/>
        <v>13</v>
      </c>
      <c r="H18" s="24" t="s">
        <v>38</v>
      </c>
      <c r="I18" s="24" t="s">
        <v>77</v>
      </c>
      <c r="J18" s="24" t="s">
        <v>40</v>
      </c>
      <c r="K18" s="24" t="s">
        <v>40</v>
      </c>
      <c r="L18" s="24" t="s">
        <v>38</v>
      </c>
      <c r="M18" s="24" t="s">
        <v>41</v>
      </c>
      <c r="N18" s="24" t="s">
        <v>40</v>
      </c>
      <c r="O18" s="24" t="s">
        <v>78</v>
      </c>
      <c r="P18" s="15" t="str">
        <f t="shared" si="3"/>
        <v>0041</v>
      </c>
      <c r="Q18" s="16" t="str">
        <f t="shared" si="4"/>
        <v>0000000001000001</v>
      </c>
      <c r="R18" s="16" t="str">
        <f t="shared" si="5"/>
        <v>01000001</v>
      </c>
      <c r="S18" s="16" t="str">
        <f t="shared" si="6"/>
        <v>00000000</v>
      </c>
      <c r="T18" s="16" t="str">
        <f t="shared" ref="T18:U18" si="20">bin2hex(R18,2)</f>
        <v>41</v>
      </c>
      <c r="U18" s="17" t="str">
        <f t="shared" si="20"/>
        <v>00</v>
      </c>
      <c r="V18" s="16">
        <v>13.0</v>
      </c>
      <c r="W18" s="16" t="str">
        <f t="shared" si="8"/>
        <v>001101</v>
      </c>
    </row>
    <row r="19" ht="15.75" customHeight="1">
      <c r="A19" s="20" t="s">
        <v>80</v>
      </c>
      <c r="D19" s="22" t="s">
        <v>58</v>
      </c>
      <c r="E19" s="27"/>
      <c r="F19" s="22" t="str">
        <f>IFERROR(__xludf.DUMMYFUNCTION("CONCATENATE(""0b"", TO_TEXT(W19))"),"0b001110")</f>
        <v>0b001110</v>
      </c>
      <c r="G19" s="12">
        <f t="shared" si="2"/>
        <v>14</v>
      </c>
      <c r="H19" s="24" t="s">
        <v>38</v>
      </c>
      <c r="I19" s="24" t="s">
        <v>77</v>
      </c>
      <c r="J19" s="24" t="s">
        <v>40</v>
      </c>
      <c r="K19" s="24" t="s">
        <v>40</v>
      </c>
      <c r="L19" s="24" t="s">
        <v>38</v>
      </c>
      <c r="M19" s="24" t="s">
        <v>41</v>
      </c>
      <c r="N19" s="24" t="s">
        <v>40</v>
      </c>
      <c r="O19" s="24" t="s">
        <v>78</v>
      </c>
      <c r="P19" s="15" t="str">
        <f t="shared" si="3"/>
        <v>0041</v>
      </c>
      <c r="Q19" s="16" t="str">
        <f t="shared" si="4"/>
        <v>0000000001000001</v>
      </c>
      <c r="R19" s="16" t="str">
        <f t="shared" si="5"/>
        <v>01000001</v>
      </c>
      <c r="S19" s="16" t="str">
        <f t="shared" si="6"/>
        <v>00000000</v>
      </c>
      <c r="T19" s="16" t="str">
        <f t="shared" ref="T19:U19" si="21">bin2hex(R19,2)</f>
        <v>41</v>
      </c>
      <c r="U19" s="17" t="str">
        <f t="shared" si="21"/>
        <v>00</v>
      </c>
      <c r="V19" s="16">
        <v>14.0</v>
      </c>
      <c r="W19" s="16" t="str">
        <f t="shared" si="8"/>
        <v>001110</v>
      </c>
    </row>
    <row r="20" ht="15.75" customHeight="1">
      <c r="A20" s="20" t="s">
        <v>81</v>
      </c>
      <c r="C20" s="26" t="s">
        <v>82</v>
      </c>
      <c r="D20" s="22" t="s">
        <v>36</v>
      </c>
      <c r="E20" s="27"/>
      <c r="F20" s="22" t="str">
        <f>IFERROR(__xludf.DUMMYFUNCTION("CONCATENATE(""0b"", TO_TEXT(W20))"),"0b001111")</f>
        <v>0b001111</v>
      </c>
      <c r="G20" s="28">
        <f t="shared" si="2"/>
        <v>15</v>
      </c>
      <c r="H20" s="29" t="s">
        <v>38</v>
      </c>
      <c r="I20" s="30" t="s">
        <v>77</v>
      </c>
      <c r="J20" s="30" t="s">
        <v>40</v>
      </c>
      <c r="K20" s="30" t="s">
        <v>40</v>
      </c>
      <c r="L20" s="30" t="s">
        <v>38</v>
      </c>
      <c r="M20" s="30" t="s">
        <v>41</v>
      </c>
      <c r="N20" s="30" t="s">
        <v>40</v>
      </c>
      <c r="O20" s="30" t="s">
        <v>42</v>
      </c>
      <c r="P20" s="15" t="str">
        <f t="shared" si="3"/>
        <v>1041</v>
      </c>
      <c r="Q20" s="16" t="str">
        <f t="shared" si="4"/>
        <v>0001000001000001</v>
      </c>
      <c r="R20" s="16" t="str">
        <f t="shared" si="5"/>
        <v>01000001</v>
      </c>
      <c r="S20" s="16" t="str">
        <f t="shared" si="6"/>
        <v>00010000</v>
      </c>
      <c r="T20" s="16" t="str">
        <f t="shared" ref="T20:U20" si="22">bin2hex(R20,2)</f>
        <v>41</v>
      </c>
      <c r="U20" s="17" t="str">
        <f t="shared" si="22"/>
        <v>10</v>
      </c>
      <c r="V20" s="16">
        <v>15.0</v>
      </c>
      <c r="W20" s="16" t="str">
        <f t="shared" si="8"/>
        <v>001111</v>
      </c>
    </row>
    <row r="21" ht="15.75" customHeight="1">
      <c r="A21" s="20" t="s">
        <v>83</v>
      </c>
      <c r="D21" s="25" t="s">
        <v>50</v>
      </c>
      <c r="E21" s="23" t="s">
        <v>37</v>
      </c>
      <c r="F21" s="22" t="str">
        <f>IFERROR(__xludf.DUMMYFUNCTION("CONCATENATE(""0b"", TO_TEXT(W21))"),"0b010000")</f>
        <v>0b010000</v>
      </c>
      <c r="G21" s="12">
        <f t="shared" si="2"/>
        <v>16</v>
      </c>
      <c r="H21" s="24" t="s">
        <v>38</v>
      </c>
      <c r="I21" s="24" t="s">
        <v>77</v>
      </c>
      <c r="J21" s="24" t="s">
        <v>40</v>
      </c>
      <c r="K21" s="24" t="s">
        <v>40</v>
      </c>
      <c r="L21" s="24" t="s">
        <v>38</v>
      </c>
      <c r="M21" s="24" t="s">
        <v>51</v>
      </c>
      <c r="N21" s="24" t="s">
        <v>40</v>
      </c>
      <c r="O21" s="24" t="s">
        <v>42</v>
      </c>
      <c r="P21" s="15" t="str">
        <f t="shared" si="3"/>
        <v>10C1</v>
      </c>
      <c r="Q21" s="16" t="str">
        <f t="shared" si="4"/>
        <v>0001000011000001</v>
      </c>
      <c r="R21" s="16" t="str">
        <f t="shared" si="5"/>
        <v>11000001</v>
      </c>
      <c r="S21" s="16" t="str">
        <f t="shared" si="6"/>
        <v>00010000</v>
      </c>
      <c r="T21" s="16" t="str">
        <f t="shared" ref="T21:U21" si="23">bin2hex(R21,2)</f>
        <v>C1</v>
      </c>
      <c r="U21" s="17" t="str">
        <f t="shared" si="23"/>
        <v>10</v>
      </c>
      <c r="V21" s="16">
        <v>16.0</v>
      </c>
      <c r="W21" s="16" t="str">
        <f t="shared" si="8"/>
        <v>010000</v>
      </c>
    </row>
    <row r="22" ht="15.75" customHeight="1">
      <c r="A22" s="20" t="s">
        <v>84</v>
      </c>
      <c r="D22" s="22" t="s">
        <v>58</v>
      </c>
      <c r="E22" s="27"/>
      <c r="F22" s="22" t="str">
        <f>IFERROR(__xludf.DUMMYFUNCTION("CONCATENATE(""0b"", TO_TEXT(W22))"),"0b010001")</f>
        <v>0b010001</v>
      </c>
      <c r="G22" s="12">
        <f t="shared" si="2"/>
        <v>17</v>
      </c>
      <c r="H22" s="24" t="s">
        <v>38</v>
      </c>
      <c r="I22" s="24" t="s">
        <v>77</v>
      </c>
      <c r="J22" s="24" t="s">
        <v>40</v>
      </c>
      <c r="K22" s="24" t="s">
        <v>40</v>
      </c>
      <c r="L22" s="24" t="s">
        <v>38</v>
      </c>
      <c r="M22" s="24" t="s">
        <v>59</v>
      </c>
      <c r="N22" s="24" t="s">
        <v>40</v>
      </c>
      <c r="O22" s="24" t="s">
        <v>42</v>
      </c>
      <c r="P22" s="15" t="str">
        <f t="shared" si="3"/>
        <v>1141</v>
      </c>
      <c r="Q22" s="16" t="str">
        <f t="shared" si="4"/>
        <v>0001000101000001</v>
      </c>
      <c r="R22" s="16" t="str">
        <f t="shared" si="5"/>
        <v>01000001</v>
      </c>
      <c r="S22" s="16" t="str">
        <f t="shared" si="6"/>
        <v>00010001</v>
      </c>
      <c r="T22" s="16" t="str">
        <f t="shared" ref="T22:U22" si="24">bin2hex(R22,2)</f>
        <v>41</v>
      </c>
      <c r="U22" s="17" t="str">
        <f t="shared" si="24"/>
        <v>11</v>
      </c>
      <c r="V22" s="16">
        <v>17.0</v>
      </c>
      <c r="W22" s="16" t="str">
        <f t="shared" si="8"/>
        <v>010001</v>
      </c>
    </row>
    <row r="23" ht="15.75" customHeight="1">
      <c r="A23" s="20" t="s">
        <v>85</v>
      </c>
      <c r="D23" s="25" t="s">
        <v>61</v>
      </c>
      <c r="E23" s="27"/>
      <c r="F23" s="22" t="str">
        <f>IFERROR(__xludf.DUMMYFUNCTION("CONCATENATE(""0b"", TO_TEXT(W23))"),"0b010010")</f>
        <v>0b010010</v>
      </c>
      <c r="G23" s="12">
        <f t="shared" si="2"/>
        <v>18</v>
      </c>
      <c r="H23" s="24" t="s">
        <v>38</v>
      </c>
      <c r="I23" s="24" t="s">
        <v>77</v>
      </c>
      <c r="J23" s="24" t="s">
        <v>40</v>
      </c>
      <c r="K23" s="24" t="s">
        <v>40</v>
      </c>
      <c r="L23" s="24" t="s">
        <v>38</v>
      </c>
      <c r="M23" s="24" t="s">
        <v>62</v>
      </c>
      <c r="N23" s="24" t="s">
        <v>40</v>
      </c>
      <c r="O23" s="24" t="s">
        <v>42</v>
      </c>
      <c r="P23" s="15" t="str">
        <f t="shared" si="3"/>
        <v>1241</v>
      </c>
      <c r="Q23" s="16" t="str">
        <f t="shared" si="4"/>
        <v>0001001001000001</v>
      </c>
      <c r="R23" s="16" t="str">
        <f t="shared" si="5"/>
        <v>01000001</v>
      </c>
      <c r="S23" s="16" t="str">
        <f t="shared" si="6"/>
        <v>00010010</v>
      </c>
      <c r="T23" s="16" t="str">
        <f t="shared" ref="T23:U23" si="25">bin2hex(R23,2)</f>
        <v>41</v>
      </c>
      <c r="U23" s="17" t="str">
        <f t="shared" si="25"/>
        <v>12</v>
      </c>
      <c r="V23" s="16">
        <v>18.0</v>
      </c>
      <c r="W23" s="16" t="str">
        <f t="shared" si="8"/>
        <v>010010</v>
      </c>
    </row>
    <row r="24" ht="15.75" customHeight="1">
      <c r="A24" s="20" t="s">
        <v>86</v>
      </c>
      <c r="D24" s="22" t="s">
        <v>64</v>
      </c>
      <c r="E24" s="23" t="s">
        <v>37</v>
      </c>
      <c r="F24" s="22" t="str">
        <f>IFERROR(__xludf.DUMMYFUNCTION("CONCATENATE(""0b"", TO_TEXT(W24))"),"0b010011")</f>
        <v>0b010011</v>
      </c>
      <c r="G24" s="12">
        <f t="shared" si="2"/>
        <v>19</v>
      </c>
      <c r="H24" s="24" t="s">
        <v>38</v>
      </c>
      <c r="I24" s="24" t="s">
        <v>77</v>
      </c>
      <c r="J24" s="24" t="s">
        <v>40</v>
      </c>
      <c r="K24" s="24" t="s">
        <v>40</v>
      </c>
      <c r="L24" s="24" t="s">
        <v>38</v>
      </c>
      <c r="M24" s="24" t="s">
        <v>65</v>
      </c>
      <c r="N24" s="30" t="s">
        <v>40</v>
      </c>
      <c r="O24" s="24" t="s">
        <v>42</v>
      </c>
      <c r="P24" s="15" t="str">
        <f t="shared" si="3"/>
        <v>12C1</v>
      </c>
      <c r="Q24" s="16" t="str">
        <f t="shared" si="4"/>
        <v>0001001011000001</v>
      </c>
      <c r="R24" s="16" t="str">
        <f t="shared" si="5"/>
        <v>11000001</v>
      </c>
      <c r="S24" s="16" t="str">
        <f t="shared" si="6"/>
        <v>00010010</v>
      </c>
      <c r="T24" s="16" t="str">
        <f t="shared" ref="T24:U24" si="26">bin2hex(R24,2)</f>
        <v>C1</v>
      </c>
      <c r="U24" s="17" t="str">
        <f t="shared" si="26"/>
        <v>12</v>
      </c>
      <c r="V24" s="16">
        <v>19.0</v>
      </c>
      <c r="W24" s="16" t="str">
        <f t="shared" si="8"/>
        <v>010011</v>
      </c>
    </row>
    <row r="25" ht="15.75" customHeight="1">
      <c r="A25" s="20" t="s">
        <v>87</v>
      </c>
      <c r="D25" s="22" t="s">
        <v>64</v>
      </c>
      <c r="E25" s="23" t="s">
        <v>47</v>
      </c>
      <c r="F25" s="22" t="str">
        <f>IFERROR(__xludf.DUMMYFUNCTION("CONCATENATE(""0b"", TO_TEXT(W25))"),"0b010100")</f>
        <v>0b010100</v>
      </c>
      <c r="G25" s="12">
        <f t="shared" si="2"/>
        <v>20</v>
      </c>
      <c r="H25" s="24" t="s">
        <v>38</v>
      </c>
      <c r="I25" s="24" t="s">
        <v>77</v>
      </c>
      <c r="J25" s="24" t="s">
        <v>40</v>
      </c>
      <c r="K25" s="24" t="s">
        <v>40</v>
      </c>
      <c r="L25" s="24" t="s">
        <v>38</v>
      </c>
      <c r="M25" s="24" t="s">
        <v>67</v>
      </c>
      <c r="N25" s="24" t="s">
        <v>40</v>
      </c>
      <c r="O25" s="24" t="s">
        <v>42</v>
      </c>
      <c r="P25" s="15" t="str">
        <f t="shared" si="3"/>
        <v>16C1</v>
      </c>
      <c r="Q25" s="16" t="str">
        <f t="shared" si="4"/>
        <v>0001011011000001</v>
      </c>
      <c r="R25" s="16" t="str">
        <f t="shared" si="5"/>
        <v>11000001</v>
      </c>
      <c r="S25" s="16" t="str">
        <f t="shared" si="6"/>
        <v>00010110</v>
      </c>
      <c r="T25" s="16" t="str">
        <f t="shared" ref="T25:U25" si="27">bin2hex(R25,2)</f>
        <v>C1</v>
      </c>
      <c r="U25" s="17" t="str">
        <f t="shared" si="27"/>
        <v>16</v>
      </c>
      <c r="V25" s="16">
        <v>20.0</v>
      </c>
      <c r="W25" s="16" t="str">
        <f t="shared" si="8"/>
        <v>010100</v>
      </c>
    </row>
    <row r="26" ht="15.75" customHeight="1">
      <c r="A26" s="20" t="s">
        <v>88</v>
      </c>
      <c r="D26" s="22" t="s">
        <v>69</v>
      </c>
      <c r="E26" s="27"/>
      <c r="F26" s="22" t="str">
        <f>IFERROR(__xludf.DUMMYFUNCTION("CONCATENATE(""0b"", TO_TEXT(W26))"),"0b010101")</f>
        <v>0b010101</v>
      </c>
      <c r="G26" s="12">
        <f t="shared" si="2"/>
        <v>21</v>
      </c>
      <c r="H26" s="24" t="s">
        <v>38</v>
      </c>
      <c r="I26" s="24" t="s">
        <v>77</v>
      </c>
      <c r="J26" s="24" t="s">
        <v>40</v>
      </c>
      <c r="K26" s="30" t="s">
        <v>40</v>
      </c>
      <c r="L26" s="24" t="s">
        <v>38</v>
      </c>
      <c r="M26" s="24" t="s">
        <v>70</v>
      </c>
      <c r="N26" s="24" t="s">
        <v>40</v>
      </c>
      <c r="O26" s="24" t="s">
        <v>42</v>
      </c>
      <c r="P26" s="15" t="str">
        <f t="shared" si="3"/>
        <v>1341</v>
      </c>
      <c r="Q26" s="16" t="str">
        <f t="shared" si="4"/>
        <v>0001001101000001</v>
      </c>
      <c r="R26" s="16" t="str">
        <f t="shared" si="5"/>
        <v>01000001</v>
      </c>
      <c r="S26" s="16" t="str">
        <f t="shared" si="6"/>
        <v>00010011</v>
      </c>
      <c r="T26" s="16" t="str">
        <f t="shared" ref="T26:U26" si="28">bin2hex(R26,2)</f>
        <v>41</v>
      </c>
      <c r="U26" s="17" t="str">
        <f t="shared" si="28"/>
        <v>13</v>
      </c>
      <c r="V26" s="16">
        <v>21.0</v>
      </c>
      <c r="W26" s="16" t="str">
        <f t="shared" si="8"/>
        <v>010101</v>
      </c>
    </row>
    <row r="27" ht="15.75" customHeight="1">
      <c r="A27" s="20" t="s">
        <v>89</v>
      </c>
      <c r="D27" s="22" t="s">
        <v>72</v>
      </c>
      <c r="E27" s="27"/>
      <c r="F27" s="22" t="str">
        <f>IFERROR(__xludf.DUMMYFUNCTION("CONCATENATE(""0b"", TO_TEXT(W27))"),"0b010110")</f>
        <v>0b010110</v>
      </c>
      <c r="G27" s="12">
        <f t="shared" si="2"/>
        <v>22</v>
      </c>
      <c r="H27" s="24" t="s">
        <v>38</v>
      </c>
      <c r="I27" s="24" t="s">
        <v>77</v>
      </c>
      <c r="J27" s="24" t="s">
        <v>40</v>
      </c>
      <c r="K27" s="24" t="s">
        <v>40</v>
      </c>
      <c r="L27" s="24" t="s">
        <v>38</v>
      </c>
      <c r="M27" s="24" t="s">
        <v>73</v>
      </c>
      <c r="N27" s="24" t="s">
        <v>40</v>
      </c>
      <c r="O27" s="24" t="s">
        <v>42</v>
      </c>
      <c r="P27" s="15" t="str">
        <f t="shared" si="3"/>
        <v>13C1</v>
      </c>
      <c r="Q27" s="16" t="str">
        <f t="shared" si="4"/>
        <v>0001001111000001</v>
      </c>
      <c r="R27" s="16" t="str">
        <f t="shared" si="5"/>
        <v>11000001</v>
      </c>
      <c r="S27" s="16" t="str">
        <f t="shared" si="6"/>
        <v>00010011</v>
      </c>
      <c r="T27" s="16" t="str">
        <f t="shared" ref="T27:U27" si="29">bin2hex(R27,2)</f>
        <v>C1</v>
      </c>
      <c r="U27" s="17" t="str">
        <f t="shared" si="29"/>
        <v>13</v>
      </c>
      <c r="V27" s="16">
        <v>22.0</v>
      </c>
      <c r="W27" s="16" t="str">
        <f t="shared" si="8"/>
        <v>010110</v>
      </c>
    </row>
    <row r="28" ht="15.75" customHeight="1">
      <c r="A28" s="20" t="s">
        <v>90</v>
      </c>
      <c r="B28" s="10" t="s">
        <v>91</v>
      </c>
      <c r="C28" s="26" t="s">
        <v>92</v>
      </c>
      <c r="D28" s="22" t="s">
        <v>36</v>
      </c>
      <c r="E28" s="27"/>
      <c r="F28" s="22" t="str">
        <f>IFERROR(__xludf.DUMMYFUNCTION("CONCATENATE(""0b"", TO_TEXT(W28))"),"0b010111")</f>
        <v>0b010111</v>
      </c>
      <c r="G28" s="12">
        <f t="shared" si="2"/>
        <v>23</v>
      </c>
      <c r="H28" s="24" t="s">
        <v>40</v>
      </c>
      <c r="I28" s="24" t="s">
        <v>93</v>
      </c>
      <c r="J28" s="24" t="s">
        <v>40</v>
      </c>
      <c r="K28" s="24" t="s">
        <v>40</v>
      </c>
      <c r="L28" s="24" t="s">
        <v>38</v>
      </c>
      <c r="M28" s="24" t="s">
        <v>41</v>
      </c>
      <c r="N28" s="31" t="s">
        <v>38</v>
      </c>
      <c r="O28" s="24" t="s">
        <v>78</v>
      </c>
      <c r="P28" s="15" t="str">
        <f t="shared" si="3"/>
        <v>0842</v>
      </c>
      <c r="Q28" s="16" t="str">
        <f t="shared" si="4"/>
        <v>0000100001000010</v>
      </c>
      <c r="R28" s="16" t="str">
        <f t="shared" si="5"/>
        <v>01000010</v>
      </c>
      <c r="S28" s="16" t="str">
        <f t="shared" si="6"/>
        <v>00001000</v>
      </c>
      <c r="T28" s="16" t="str">
        <f t="shared" ref="T28:U28" si="30">bin2hex(R28,2)</f>
        <v>42</v>
      </c>
      <c r="U28" s="17" t="str">
        <f t="shared" si="30"/>
        <v>08</v>
      </c>
      <c r="V28" s="16">
        <v>23.0</v>
      </c>
      <c r="W28" s="16" t="str">
        <f t="shared" si="8"/>
        <v>010111</v>
      </c>
    </row>
    <row r="29" ht="15.75" customHeight="1">
      <c r="A29" s="20" t="s">
        <v>94</v>
      </c>
      <c r="D29" s="25" t="s">
        <v>50</v>
      </c>
      <c r="E29" s="27"/>
      <c r="F29" s="22" t="str">
        <f>IFERROR(__xludf.DUMMYFUNCTION("CONCATENATE(""0b"", TO_TEXT(W29))"),"0b011000")</f>
        <v>0b011000</v>
      </c>
      <c r="G29" s="12">
        <f t="shared" si="2"/>
        <v>24</v>
      </c>
      <c r="H29" s="24" t="s">
        <v>40</v>
      </c>
      <c r="I29" s="24" t="s">
        <v>93</v>
      </c>
      <c r="J29" s="24" t="s">
        <v>40</v>
      </c>
      <c r="K29" s="24" t="s">
        <v>40</v>
      </c>
      <c r="L29" s="24" t="s">
        <v>38</v>
      </c>
      <c r="M29" s="24" t="s">
        <v>41</v>
      </c>
      <c r="N29" s="24" t="s">
        <v>38</v>
      </c>
      <c r="O29" s="24" t="s">
        <v>78</v>
      </c>
      <c r="P29" s="15" t="str">
        <f t="shared" si="3"/>
        <v>0842</v>
      </c>
      <c r="Q29" s="16" t="str">
        <f t="shared" si="4"/>
        <v>0000100001000010</v>
      </c>
      <c r="R29" s="16" t="str">
        <f t="shared" si="5"/>
        <v>01000010</v>
      </c>
      <c r="S29" s="16" t="str">
        <f t="shared" si="6"/>
        <v>00001000</v>
      </c>
      <c r="T29" s="16" t="str">
        <f t="shared" ref="T29:U29" si="31">bin2hex(R29,2)</f>
        <v>42</v>
      </c>
      <c r="U29" s="17" t="str">
        <f t="shared" si="31"/>
        <v>08</v>
      </c>
      <c r="V29" s="16">
        <v>24.0</v>
      </c>
      <c r="W29" s="16" t="str">
        <f t="shared" si="8"/>
        <v>011000</v>
      </c>
    </row>
    <row r="30" ht="15.75" customHeight="1">
      <c r="A30" s="20" t="s">
        <v>95</v>
      </c>
      <c r="D30" s="22" t="s">
        <v>58</v>
      </c>
      <c r="E30" s="27"/>
      <c r="F30" s="22" t="str">
        <f>IFERROR(__xludf.DUMMYFUNCTION("CONCATENATE(""0b"", TO_TEXT(W30))"),"0b011001")</f>
        <v>0b011001</v>
      </c>
      <c r="G30" s="12">
        <f t="shared" si="2"/>
        <v>25</v>
      </c>
      <c r="H30" s="24" t="s">
        <v>40</v>
      </c>
      <c r="I30" s="24" t="s">
        <v>93</v>
      </c>
      <c r="J30" s="24" t="s">
        <v>40</v>
      </c>
      <c r="K30" s="24" t="s">
        <v>40</v>
      </c>
      <c r="L30" s="24" t="s">
        <v>38</v>
      </c>
      <c r="M30" s="24" t="s">
        <v>41</v>
      </c>
      <c r="N30" s="24" t="s">
        <v>38</v>
      </c>
      <c r="O30" s="24" t="s">
        <v>78</v>
      </c>
      <c r="P30" s="15" t="str">
        <f t="shared" si="3"/>
        <v>0842</v>
      </c>
      <c r="Q30" s="16" t="str">
        <f t="shared" si="4"/>
        <v>0000100001000010</v>
      </c>
      <c r="R30" s="16" t="str">
        <f t="shared" si="5"/>
        <v>01000010</v>
      </c>
      <c r="S30" s="16" t="str">
        <f t="shared" si="6"/>
        <v>00001000</v>
      </c>
      <c r="T30" s="16" t="str">
        <f t="shared" ref="T30:U30" si="32">bin2hex(R30,2)</f>
        <v>42</v>
      </c>
      <c r="U30" s="17" t="str">
        <f t="shared" si="32"/>
        <v>08</v>
      </c>
      <c r="V30" s="16">
        <v>25.0</v>
      </c>
      <c r="W30" s="16" t="str">
        <f t="shared" si="8"/>
        <v>011001</v>
      </c>
    </row>
    <row r="31" ht="15.75" customHeight="1">
      <c r="A31" s="20" t="s">
        <v>96</v>
      </c>
      <c r="B31" s="10" t="s">
        <v>97</v>
      </c>
      <c r="C31" s="26" t="s">
        <v>98</v>
      </c>
      <c r="D31" s="22" t="s">
        <v>36</v>
      </c>
      <c r="E31" s="27"/>
      <c r="F31" s="22" t="str">
        <f>IFERROR(__xludf.DUMMYFUNCTION("CONCATENATE(""0b"", TO_TEXT(W31))"),"0b011010")</f>
        <v>0b011010</v>
      </c>
      <c r="G31" s="12">
        <f t="shared" si="2"/>
        <v>26</v>
      </c>
      <c r="H31" s="24" t="s">
        <v>40</v>
      </c>
      <c r="I31" s="24" t="s">
        <v>99</v>
      </c>
      <c r="J31" s="24" t="s">
        <v>40</v>
      </c>
      <c r="K31" s="24" t="s">
        <v>38</v>
      </c>
      <c r="L31" s="24" t="s">
        <v>38</v>
      </c>
      <c r="M31" s="24" t="s">
        <v>41</v>
      </c>
      <c r="N31" s="24" t="s">
        <v>40</v>
      </c>
      <c r="O31" s="24" t="s">
        <v>78</v>
      </c>
      <c r="P31" s="15" t="str">
        <f t="shared" si="3"/>
        <v>0064</v>
      </c>
      <c r="Q31" s="16" t="str">
        <f t="shared" si="4"/>
        <v>0000000001100100</v>
      </c>
      <c r="R31" s="16" t="str">
        <f t="shared" si="5"/>
        <v>01100100</v>
      </c>
      <c r="S31" s="16" t="str">
        <f t="shared" si="6"/>
        <v>00000000</v>
      </c>
      <c r="T31" s="16" t="str">
        <f t="shared" ref="T31:U31" si="33">bin2hex(R31,2)</f>
        <v>64</v>
      </c>
      <c r="U31" s="17" t="str">
        <f t="shared" si="33"/>
        <v>00</v>
      </c>
      <c r="V31" s="16">
        <v>26.0</v>
      </c>
      <c r="W31" s="16" t="str">
        <f t="shared" si="8"/>
        <v>011010</v>
      </c>
    </row>
    <row r="32" ht="15.75" customHeight="1">
      <c r="A32" s="20" t="s">
        <v>100</v>
      </c>
      <c r="D32" s="25" t="s">
        <v>50</v>
      </c>
      <c r="E32" s="27"/>
      <c r="F32" s="22" t="str">
        <f>IFERROR(__xludf.DUMMYFUNCTION("CONCATENATE(""0b"", TO_TEXT(W32))"),"0b011011")</f>
        <v>0b011011</v>
      </c>
      <c r="G32" s="12">
        <f t="shared" si="2"/>
        <v>27</v>
      </c>
      <c r="H32" s="24" t="s">
        <v>40</v>
      </c>
      <c r="I32" s="24" t="s">
        <v>99</v>
      </c>
      <c r="J32" s="24" t="s">
        <v>40</v>
      </c>
      <c r="K32" s="24" t="s">
        <v>38</v>
      </c>
      <c r="L32" s="24" t="s">
        <v>38</v>
      </c>
      <c r="M32" s="24" t="s">
        <v>41</v>
      </c>
      <c r="N32" s="24" t="s">
        <v>40</v>
      </c>
      <c r="O32" s="24" t="s">
        <v>78</v>
      </c>
      <c r="P32" s="15" t="str">
        <f t="shared" si="3"/>
        <v>0064</v>
      </c>
      <c r="Q32" s="16" t="str">
        <f t="shared" si="4"/>
        <v>0000000001100100</v>
      </c>
      <c r="R32" s="16" t="str">
        <f t="shared" si="5"/>
        <v>01100100</v>
      </c>
      <c r="S32" s="16" t="str">
        <f t="shared" si="6"/>
        <v>00000000</v>
      </c>
      <c r="T32" s="16" t="str">
        <f t="shared" ref="T32:U32" si="34">bin2hex(R32,2)</f>
        <v>64</v>
      </c>
      <c r="U32" s="17" t="str">
        <f t="shared" si="34"/>
        <v>00</v>
      </c>
      <c r="V32" s="16">
        <v>27.0</v>
      </c>
      <c r="W32" s="16" t="str">
        <f t="shared" si="8"/>
        <v>011011</v>
      </c>
    </row>
    <row r="33" ht="15.75" customHeight="1">
      <c r="A33" s="20" t="s">
        <v>101</v>
      </c>
      <c r="D33" s="25" t="s">
        <v>61</v>
      </c>
      <c r="E33" s="27"/>
      <c r="F33" s="22" t="str">
        <f>IFERROR(__xludf.DUMMYFUNCTION("CONCATENATE(""0b"", TO_TEXT(W33))"),"0b011100")</f>
        <v>0b011100</v>
      </c>
      <c r="G33" s="12">
        <f t="shared" si="2"/>
        <v>28</v>
      </c>
      <c r="H33" s="24" t="s">
        <v>40</v>
      </c>
      <c r="I33" s="24" t="s">
        <v>99</v>
      </c>
      <c r="J33" s="24" t="s">
        <v>40</v>
      </c>
      <c r="K33" s="24" t="s">
        <v>38</v>
      </c>
      <c r="L33" s="24" t="s">
        <v>38</v>
      </c>
      <c r="M33" s="24" t="s">
        <v>41</v>
      </c>
      <c r="N33" s="30" t="s">
        <v>40</v>
      </c>
      <c r="O33" s="24" t="s">
        <v>78</v>
      </c>
      <c r="P33" s="15" t="str">
        <f t="shared" si="3"/>
        <v>0064</v>
      </c>
      <c r="Q33" s="16" t="str">
        <f t="shared" si="4"/>
        <v>0000000001100100</v>
      </c>
      <c r="R33" s="16" t="str">
        <f t="shared" si="5"/>
        <v>01100100</v>
      </c>
      <c r="S33" s="16" t="str">
        <f t="shared" si="6"/>
        <v>00000000</v>
      </c>
      <c r="T33" s="16" t="str">
        <f t="shared" ref="T33:U33" si="35">bin2hex(R33,2)</f>
        <v>64</v>
      </c>
      <c r="U33" s="17" t="str">
        <f t="shared" si="35"/>
        <v>00</v>
      </c>
      <c r="V33" s="16">
        <v>28.0</v>
      </c>
      <c r="W33" s="16" t="str">
        <f t="shared" si="8"/>
        <v>011100</v>
      </c>
    </row>
    <row r="34" ht="15.75" customHeight="1">
      <c r="A34" s="20" t="s">
        <v>102</v>
      </c>
      <c r="D34" s="22" t="s">
        <v>64</v>
      </c>
      <c r="E34" s="27"/>
      <c r="F34" s="22" t="str">
        <f>IFERROR(__xludf.DUMMYFUNCTION("CONCATENATE(""0b"", TO_TEXT(W34))"),"0b011101")</f>
        <v>0b011101</v>
      </c>
      <c r="G34" s="12">
        <f t="shared" si="2"/>
        <v>29</v>
      </c>
      <c r="H34" s="24" t="s">
        <v>40</v>
      </c>
      <c r="I34" s="24" t="s">
        <v>99</v>
      </c>
      <c r="J34" s="24" t="s">
        <v>40</v>
      </c>
      <c r="K34" s="24" t="s">
        <v>38</v>
      </c>
      <c r="L34" s="24" t="s">
        <v>38</v>
      </c>
      <c r="M34" s="24" t="s">
        <v>41</v>
      </c>
      <c r="N34" s="24" t="s">
        <v>40</v>
      </c>
      <c r="O34" s="24" t="s">
        <v>78</v>
      </c>
      <c r="P34" s="15" t="str">
        <f t="shared" si="3"/>
        <v>0064</v>
      </c>
      <c r="Q34" s="16" t="str">
        <f t="shared" si="4"/>
        <v>0000000001100100</v>
      </c>
      <c r="R34" s="16" t="str">
        <f t="shared" si="5"/>
        <v>01100100</v>
      </c>
      <c r="S34" s="16" t="str">
        <f t="shared" si="6"/>
        <v>00000000</v>
      </c>
      <c r="T34" s="16" t="str">
        <f t="shared" ref="T34:U34" si="36">bin2hex(R34,2)</f>
        <v>64</v>
      </c>
      <c r="U34" s="17" t="str">
        <f t="shared" si="36"/>
        <v>00</v>
      </c>
      <c r="V34" s="16">
        <v>29.0</v>
      </c>
      <c r="W34" s="16" t="str">
        <f t="shared" si="8"/>
        <v>011101</v>
      </c>
    </row>
    <row r="35" ht="15.75" customHeight="1">
      <c r="A35" s="20" t="s">
        <v>103</v>
      </c>
      <c r="D35" s="22" t="s">
        <v>69</v>
      </c>
      <c r="E35" s="27"/>
      <c r="F35" s="22" t="str">
        <f>IFERROR(__xludf.DUMMYFUNCTION("CONCATENATE(""0b"", TO_TEXT(W35))"),"0b011110")</f>
        <v>0b011110</v>
      </c>
      <c r="G35" s="12">
        <f t="shared" si="2"/>
        <v>30</v>
      </c>
      <c r="H35" s="24" t="s">
        <v>40</v>
      </c>
      <c r="I35" s="24" t="s">
        <v>99</v>
      </c>
      <c r="J35" s="24" t="s">
        <v>38</v>
      </c>
      <c r="K35" s="24" t="s">
        <v>38</v>
      </c>
      <c r="L35" s="24" t="s">
        <v>38</v>
      </c>
      <c r="M35" s="24" t="s">
        <v>41</v>
      </c>
      <c r="N35" s="24" t="s">
        <v>40</v>
      </c>
      <c r="O35" s="24" t="s">
        <v>78</v>
      </c>
      <c r="P35" s="15" t="str">
        <f t="shared" si="3"/>
        <v>0074</v>
      </c>
      <c r="Q35" s="16" t="str">
        <f t="shared" si="4"/>
        <v>0000000001110100</v>
      </c>
      <c r="R35" s="16" t="str">
        <f t="shared" si="5"/>
        <v>01110100</v>
      </c>
      <c r="S35" s="16" t="str">
        <f t="shared" si="6"/>
        <v>00000000</v>
      </c>
      <c r="T35" s="16" t="str">
        <f t="shared" ref="T35:U35" si="37">bin2hex(R35,2)</f>
        <v>74</v>
      </c>
      <c r="U35" s="17" t="str">
        <f t="shared" si="37"/>
        <v>00</v>
      </c>
      <c r="V35" s="16">
        <v>30.0</v>
      </c>
      <c r="W35" s="16" t="str">
        <f t="shared" si="8"/>
        <v>011110</v>
      </c>
    </row>
    <row r="36" ht="15.75" customHeight="1">
      <c r="A36" s="20" t="s">
        <v>104</v>
      </c>
      <c r="D36" s="22" t="s">
        <v>72</v>
      </c>
      <c r="E36" s="27"/>
      <c r="F36" s="22" t="str">
        <f>IFERROR(__xludf.DUMMYFUNCTION("CONCATENATE(""0b"", TO_TEXT(W36))"),"0b011111")</f>
        <v>0b011111</v>
      </c>
      <c r="G36" s="12">
        <f t="shared" si="2"/>
        <v>31</v>
      </c>
      <c r="H36" s="24" t="s">
        <v>40</v>
      </c>
      <c r="I36" s="24" t="s">
        <v>99</v>
      </c>
      <c r="J36" s="24" t="s">
        <v>38</v>
      </c>
      <c r="K36" s="24" t="s">
        <v>38</v>
      </c>
      <c r="L36" s="24" t="s">
        <v>38</v>
      </c>
      <c r="M36" s="24" t="s">
        <v>41</v>
      </c>
      <c r="N36" s="24" t="s">
        <v>40</v>
      </c>
      <c r="O36" s="24" t="s">
        <v>78</v>
      </c>
      <c r="P36" s="15" t="str">
        <f t="shared" si="3"/>
        <v>0074</v>
      </c>
      <c r="Q36" s="16" t="str">
        <f t="shared" si="4"/>
        <v>0000000001110100</v>
      </c>
      <c r="R36" s="16" t="str">
        <f t="shared" si="5"/>
        <v>01110100</v>
      </c>
      <c r="S36" s="16" t="str">
        <f t="shared" si="6"/>
        <v>00000000</v>
      </c>
      <c r="T36" s="16" t="str">
        <f t="shared" ref="T36:U36" si="38">bin2hex(R36,2)</f>
        <v>74</v>
      </c>
      <c r="U36" s="17" t="str">
        <f t="shared" si="38"/>
        <v>00</v>
      </c>
      <c r="V36" s="16">
        <v>31.0</v>
      </c>
      <c r="W36" s="16" t="str">
        <f t="shared" si="8"/>
        <v>011111</v>
      </c>
    </row>
    <row r="37" ht="15.75" customHeight="1">
      <c r="A37" s="20" t="s">
        <v>105</v>
      </c>
      <c r="B37" s="10" t="s">
        <v>106</v>
      </c>
      <c r="C37" s="32" t="s">
        <v>107</v>
      </c>
      <c r="D37" s="33"/>
      <c r="E37" s="27"/>
      <c r="F37" s="22" t="str">
        <f>IFERROR(__xludf.DUMMYFUNCTION("CONCATENATE(""0b"", TO_TEXT(W37))"),"0b100000")</f>
        <v>0b100000</v>
      </c>
      <c r="G37" s="12">
        <f t="shared" si="2"/>
        <v>32</v>
      </c>
      <c r="H37" s="24" t="s">
        <v>38</v>
      </c>
      <c r="I37" s="24" t="s">
        <v>108</v>
      </c>
      <c r="J37" s="24" t="s">
        <v>40</v>
      </c>
      <c r="K37" s="24" t="s">
        <v>38</v>
      </c>
      <c r="L37" s="24" t="s">
        <v>38</v>
      </c>
      <c r="M37" s="24" t="s">
        <v>41</v>
      </c>
      <c r="N37" s="24" t="s">
        <v>40</v>
      </c>
      <c r="O37" s="24" t="s">
        <v>42</v>
      </c>
      <c r="P37" s="15" t="str">
        <f t="shared" si="3"/>
        <v>1067</v>
      </c>
      <c r="Q37" s="16" t="str">
        <f t="shared" si="4"/>
        <v>0001000001100111</v>
      </c>
      <c r="R37" s="16" t="str">
        <f t="shared" si="5"/>
        <v>01100111</v>
      </c>
      <c r="S37" s="16" t="str">
        <f t="shared" si="6"/>
        <v>00010000</v>
      </c>
      <c r="T37" s="16" t="str">
        <f t="shared" ref="T37:U37" si="39">bin2hex(R37,2)</f>
        <v>67</v>
      </c>
      <c r="U37" s="17" t="str">
        <f t="shared" si="39"/>
        <v>10</v>
      </c>
      <c r="V37" s="16">
        <v>32.0</v>
      </c>
      <c r="W37" s="16" t="str">
        <f t="shared" si="8"/>
        <v>100000</v>
      </c>
    </row>
    <row r="38" ht="15.75" customHeight="1">
      <c r="A38" s="20" t="s">
        <v>109</v>
      </c>
      <c r="C38" s="32" t="s">
        <v>110</v>
      </c>
      <c r="D38" s="33"/>
      <c r="E38" s="27"/>
      <c r="F38" s="22" t="str">
        <f>IFERROR(__xludf.DUMMYFUNCTION("CONCATENATE(""0b"", TO_TEXT(W38))"),"0b100001")</f>
        <v>0b100001</v>
      </c>
      <c r="G38" s="12">
        <f t="shared" si="2"/>
        <v>33</v>
      </c>
      <c r="H38" s="24" t="s">
        <v>38</v>
      </c>
      <c r="I38" s="24" t="s">
        <v>108</v>
      </c>
      <c r="J38" s="24" t="s">
        <v>40</v>
      </c>
      <c r="K38" s="24" t="s">
        <v>40</v>
      </c>
      <c r="L38" s="24" t="s">
        <v>38</v>
      </c>
      <c r="M38" s="24" t="s">
        <v>111</v>
      </c>
      <c r="N38" s="24" t="s">
        <v>40</v>
      </c>
      <c r="O38" s="24" t="s">
        <v>42</v>
      </c>
      <c r="P38" s="15" t="str">
        <f t="shared" si="3"/>
        <v>17C7</v>
      </c>
      <c r="Q38" s="16" t="str">
        <f t="shared" si="4"/>
        <v>0001011111000111</v>
      </c>
      <c r="R38" s="16" t="str">
        <f t="shared" si="5"/>
        <v>11000111</v>
      </c>
      <c r="S38" s="16" t="str">
        <f t="shared" si="6"/>
        <v>00010111</v>
      </c>
      <c r="T38" s="16" t="str">
        <f t="shared" ref="T38:U38" si="40">bin2hex(R38,2)</f>
        <v>C7</v>
      </c>
      <c r="U38" s="17" t="str">
        <f t="shared" si="40"/>
        <v>17</v>
      </c>
      <c r="V38" s="16">
        <v>33.0</v>
      </c>
      <c r="W38" s="16" t="str">
        <f t="shared" si="8"/>
        <v>100001</v>
      </c>
    </row>
    <row r="39" ht="15.75" customHeight="1">
      <c r="A39" s="20" t="s">
        <v>112</v>
      </c>
      <c r="B39" s="10" t="s">
        <v>113</v>
      </c>
      <c r="C39" s="26" t="s">
        <v>114</v>
      </c>
      <c r="D39" s="33"/>
      <c r="E39" s="27"/>
      <c r="F39" s="22" t="str">
        <f>IFERROR(__xludf.DUMMYFUNCTION("CONCATENATE(""0b"", TO_TEXT(W39))"),"0b100010")</f>
        <v>0b100010</v>
      </c>
      <c r="G39" s="12">
        <f t="shared" si="2"/>
        <v>34</v>
      </c>
      <c r="H39" s="24" t="s">
        <v>38</v>
      </c>
      <c r="I39" s="24" t="s">
        <v>115</v>
      </c>
      <c r="J39" s="24" t="s">
        <v>40</v>
      </c>
      <c r="K39" s="24" t="s">
        <v>38</v>
      </c>
      <c r="L39" s="24" t="s">
        <v>38</v>
      </c>
      <c r="M39" s="24" t="s">
        <v>41</v>
      </c>
      <c r="N39" s="24" t="s">
        <v>40</v>
      </c>
      <c r="O39" s="24" t="s">
        <v>116</v>
      </c>
      <c r="P39" s="15" t="str">
        <f t="shared" si="3"/>
        <v>2069</v>
      </c>
      <c r="Q39" s="16" t="str">
        <f t="shared" si="4"/>
        <v>0010000001101001</v>
      </c>
      <c r="R39" s="16" t="str">
        <f t="shared" si="5"/>
        <v>01101001</v>
      </c>
      <c r="S39" s="16" t="str">
        <f t="shared" si="6"/>
        <v>00100000</v>
      </c>
      <c r="T39" s="16" t="str">
        <f t="shared" ref="T39:U39" si="41">bin2hex(R39,2)</f>
        <v>69</v>
      </c>
      <c r="U39" s="17" t="str">
        <f t="shared" si="41"/>
        <v>20</v>
      </c>
      <c r="V39" s="16">
        <v>34.0</v>
      </c>
      <c r="W39" s="16" t="str">
        <f t="shared" si="8"/>
        <v>100010</v>
      </c>
    </row>
    <row r="40" ht="15.75" customHeight="1">
      <c r="A40" s="20" t="s">
        <v>117</v>
      </c>
      <c r="B40" s="10" t="s">
        <v>75</v>
      </c>
      <c r="C40" s="26" t="s">
        <v>118</v>
      </c>
      <c r="D40" s="22" t="s">
        <v>36</v>
      </c>
      <c r="E40" s="27"/>
      <c r="F40" s="22" t="str">
        <f>IFERROR(__xludf.DUMMYFUNCTION("CONCATENATE(""0b"", TO_TEXT(W40))"),"0b100011")</f>
        <v>0b100011</v>
      </c>
      <c r="G40" s="12">
        <f t="shared" si="2"/>
        <v>35</v>
      </c>
      <c r="H40" s="24" t="s">
        <v>38</v>
      </c>
      <c r="I40" s="24" t="s">
        <v>77</v>
      </c>
      <c r="J40" s="24" t="s">
        <v>40</v>
      </c>
      <c r="K40" s="24" t="s">
        <v>40</v>
      </c>
      <c r="L40" s="24" t="s">
        <v>38</v>
      </c>
      <c r="M40" s="24" t="s">
        <v>41</v>
      </c>
      <c r="N40" s="24" t="s">
        <v>40</v>
      </c>
      <c r="O40" s="24" t="s">
        <v>116</v>
      </c>
      <c r="P40" s="15" t="str">
        <f t="shared" si="3"/>
        <v>2041</v>
      </c>
      <c r="Q40" s="16" t="str">
        <f t="shared" si="4"/>
        <v>0010000001000001</v>
      </c>
      <c r="R40" s="16" t="str">
        <f t="shared" si="5"/>
        <v>01000001</v>
      </c>
      <c r="S40" s="16" t="str">
        <f t="shared" si="6"/>
        <v>00100000</v>
      </c>
      <c r="T40" s="16" t="str">
        <f t="shared" ref="T40:U40" si="42">bin2hex(R40,2)</f>
        <v>41</v>
      </c>
      <c r="U40" s="17" t="str">
        <f t="shared" si="42"/>
        <v>20</v>
      </c>
      <c r="V40" s="16">
        <v>35.0</v>
      </c>
      <c r="W40" s="16" t="str">
        <f t="shared" si="8"/>
        <v>100011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A2"/>
    <mergeCell ref="B1:E1"/>
    <mergeCell ref="F1:G1"/>
    <mergeCell ref="H1:O1"/>
    <mergeCell ref="Q1:W1"/>
    <mergeCell ref="H2:O2"/>
    <mergeCell ref="C5:C16"/>
    <mergeCell ref="B31:B36"/>
    <mergeCell ref="B37:B38"/>
    <mergeCell ref="B5:B16"/>
    <mergeCell ref="B17:B27"/>
    <mergeCell ref="C17:C19"/>
    <mergeCell ref="C20:C27"/>
    <mergeCell ref="B28:B30"/>
    <mergeCell ref="C28:C30"/>
    <mergeCell ref="C31:C36"/>
  </mergeCells>
  <conditionalFormatting sqref="A1:A2">
    <cfRule type="notContainsBlanks" dxfId="0" priority="1">
      <formula>LEN(TRIM(A1))&gt;0</formula>
    </cfRule>
  </conditionalFormatting>
  <dataValidations>
    <dataValidation type="custom" allowBlank="1" showDropDown="1" showInputMessage="1" prompt="Enter 1 binary digit without a leading 0b (Ex: 0)" sqref="H5">
      <formula1>AND(EQ(LEN(TO_TEXT(H5)), 1), REGEXMATCH(TO_TEXT(H5), "[0-1]{1}"))</formula1>
    </dataValidation>
    <dataValidation type="custom" allowBlank="1" showDropDown="1" sqref="I5:I40">
      <formula1>AND(EQ(LEN(TO_TEXT(I5)), 3), REGEXMATCH(TO_TEXT(I5), "[0-1]{3}"))</formula1>
    </dataValidation>
    <dataValidation type="custom" allowBlank="1" showDropDown="1" sqref="O17:O19 O21:O40">
      <formula1>AND(EQ(LEN(TO_TEXT(O17)), 2), REGEXMATCH(TO_TEXT(O17), "[0-1]{2}"))</formula1>
    </dataValidation>
    <dataValidation type="custom" allowBlank="1" showDropDown="1" sqref="M5:M40">
      <formula1>AND(EQ(LEN(TO_TEXT(M5)), 4), REGEXMATCH(TO_TEXT(M5), "[0-1]{4}"))</formula1>
    </dataValidation>
    <dataValidation type="custom" allowBlank="1" showDropDown="1" sqref="N5:O16 J5:L19 J20:K20 H6:H40 J21:L40 N17:N40">
      <formula1>AND(EQ(LEN(TO_TEXT(H5)), 1), REGEXMATCH(TO_TEXT(H5), "[0-1]{1}"))</formula1>
    </dataValidation>
    <dataValidation type="custom" allowBlank="1" showDropDown="1" sqref="L20">
      <formula1>AND(EQ(LEN(TO_TEXT(L20)), 1), REGEXMATCH(TO_TEXT(L20), "[0-1X]{1}"))</formula1>
    </dataValidation>
    <dataValidation type="custom" allowBlank="1" showDropDown="1" sqref="O20">
      <formula1>AND(EQ(LEN(TO_TEXT(O20)), 2), REGEXMATCH(TO_TEXT(O20), "[X0-1]{2}"))</formula1>
    </dataValidation>
  </dataValidations>
  <drawing r:id="rId2"/>
  <legacyDrawing r:id="rId3"/>
</worksheet>
</file>